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64e6c0df2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7fe593568c4c45"/>
    <x:sheet xmlns:r="http://schemas.openxmlformats.org/officeDocument/2006/relationships" name="App Descriptors" sheetId="2" r:id="R9888d1edb8ca4064"/>
    <x:sheet xmlns:r="http://schemas.openxmlformats.org/officeDocument/2006/relationships" name="LAMMPS States" sheetId="3" r:id="Rdce5f4f2c7c9441a"/>
    <x:sheet xmlns:r="http://schemas.openxmlformats.org/officeDocument/2006/relationships" name="Structure RDF CN" sheetId="4" r:id="Rf5534692209c4236"/>
    <x:sheet xmlns:r="http://schemas.openxmlformats.org/officeDocument/2006/relationships" name="SRO Matrices" sheetId="5" r:id="R9a8c9a621fe44737"/>
    <x:sheet xmlns:r="http://schemas.openxmlformats.org/officeDocument/2006/relationships" name="DeltaHmix" sheetId="6" r:id="R1d07c94b26fa4731"/>
    <x:sheet xmlns:r="http://schemas.openxmlformats.org/officeDocument/2006/relationships" name="Sources Notes" sheetId="7" r:id="Rb87fd89cbc0b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%"/>
    <x:numFmt numFmtId="202" formatCode="0.000000"/>
    <x:numFmt numFmtId="203" formatCode="0.0%"/>
    <x:numFmt numFmtId="204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E6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2" fillId="3" borderId="0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/>
    <x:xf numFmtId="204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9001688a34e58" /><Relationship Type="http://schemas.openxmlformats.org/officeDocument/2006/relationships/theme" Target="/xl/theme/theme1.xml" Id="R4bbb60d4f9d54b73" /><Relationship Type="http://schemas.openxmlformats.org/officeDocument/2006/relationships/sharedStrings" Target="/xl/sharedStrings.xml" Id="Rd4324fc66e124573" /><Relationship Type="http://schemas.openxmlformats.org/officeDocument/2006/relationships/worksheet" Target="/xl/worksheets/sheet1.xml" Id="Rf17fe593568c4c45" /><Relationship Type="http://schemas.openxmlformats.org/officeDocument/2006/relationships/worksheet" Target="/xl/worksheets/sheet2.xml" Id="R9888d1edb8ca4064" /><Relationship Type="http://schemas.openxmlformats.org/officeDocument/2006/relationships/worksheet" Target="/xl/worksheets/sheet3.xml" Id="Rdce5f4f2c7c9441a" /><Relationship Type="http://schemas.openxmlformats.org/officeDocument/2006/relationships/worksheet" Target="/xl/worksheets/sheet4.xml" Id="Rf5534692209c4236" /><Relationship Type="http://schemas.openxmlformats.org/officeDocument/2006/relationships/worksheet" Target="/xl/worksheets/sheet5.xml" Id="R9a8c9a621fe44737" /><Relationship Type="http://schemas.openxmlformats.org/officeDocument/2006/relationships/worksheet" Target="/xl/worksheets/sheet6.xml" Id="R1d07c94b26fa4731" /><Relationship Type="http://schemas.openxmlformats.org/officeDocument/2006/relationships/worksheet" Target="/xl/worksheets/sheet7.xml" Id="Rb87fd89cbc0b43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66f1fb27c4496b" /><Relationship Type="http://schemas.openxmlformats.org/officeDocument/2006/relationships/chart" Target="/xl/drawings/charts/chart2.xml" Id="R2e4d42fc2ed54a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Temperature states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Density vs thermal state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Density</c:v>
          </c:tx>
          <c:cat>
            <c:strRef>
              <c:f>'LAMMPS States'!$O$20:$O$23</c:f>
              <c:strCache>
                <c:ptCount val="0"/>
              </c:strCache>
            </c:strRef>
          </c:cat>
          <c:val>
            <c:numRef>
              <c:f>'LAMMPS States'!$P$20:$P$23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66f1fb27c4496b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d42fc2ed54a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9bc451591674a8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.630000114440918" hidden="0" customWidth="1"/>
    <x:col min="3" max="3" width="16.8799991607666" hidden="0" customWidth="1"/>
    <x:col min="4" max="4" width="8.380000114440918" hidden="0" customWidth="1"/>
    <x:col min="5" max="5" width="28" hidden="0" customWidth="1"/>
    <x:col min="6" max="6" width="48" hidden="0" customWidth="1"/>
  </x:cols>
  <x:sheetData>
    <x:row r="1" ht="19.200000762939453" hidden="0" customHeight="1">
      <x:c r="A1" s="22" t="str">
        <x:v>PHEA Web App vs FCC LAMMPS Verification</x:v>
      </x:c>
      <x:c r="B1" s="22"/>
      <x:c r="C1" s="22"/>
      <x:c r="D1" s="22"/>
      <x:c r="E1" s="22"/>
      <x:c r="F1" s="22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15" hidden="0" customHeight="1">
      <x:c r="A2" s="23" t="str">
        <x:v>Metric</x:v>
      </x:c>
      <x:c r="B2" s="23" t="str">
        <x:v>Web app / atlas</x:v>
      </x:c>
      <x:c r="C2" s="23" t="str">
        <x:v>LAMMPS / calculated</x:v>
      </x:c>
      <x:c r="D2" s="23" t="str">
        <x:v>Difference</x:v>
      </x:c>
      <x:c r="E2" s="23" t="str">
        <x:v>Agreement</x:v>
      </x:c>
      <x:c r="F2" s="23" t="str">
        <x:v>Interpretation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 ht="15" hidden="0" customHeight="1">
      <x:c r="A3" s="45" t="str">
        <x:v>Single-phase score</x:v>
      </x:c>
      <x:c r="B3" s="46" t="n">
        <x:v>0.8987</x:v>
      </x:c>
      <x:c r="C3" s="46" t="n">
        <x:v>0.907</x:v>
      </x:c>
      <x:c r="D3" s="46" t="n">
        <x:f>C3-B3</x:f>
        <x:v>0.008299999999999974</x:v>
      </x:c>
      <x:c r="E3" s="45" t="str">
        <x:v>Supported (preliminary)</x:v>
      </x:c>
      <x:c r="F3" s="45" t="str">
        <x:v>1073 K final OVITO screenshot: 90.7% FCC, 0% HCP/BCC/ICO; full conclusion still needs HCP and BCC runs.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15" hidden="0" customHeight="1">
      <x:c r="A4" s="45" t="str">
        <x:v>Official atlas eq_P</x:v>
      </x:c>
      <x:c r="B4" s="46" t="n">
        <x:v>0.91212</x:v>
      </x:c>
      <x:c r="C4" s="46" t="n">
        <x:v>0.8987</x:v>
      </x:c>
      <x:c r="D4" s="46" t="n">
        <x:f>C4-B4</x:f>
        <x:v>-0.013419999999999987</x:v>
      </x:c>
      <x:c r="E4" s="45" t="str">
        <x:v>Close</x:v>
      </x:c>
      <x:c r="F4" s="45" t="str">
        <x:v>Local web app is 1.342 percentage points below the uploaded official atlas row.</x:v>
      </x:c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15" hidden="0" customHeight="1">
      <x:c r="A5" s="45" t="str">
        <x:v>Density at 0 K (g/cm³)</x:v>
      </x:c>
      <x:c r="B5" s="46" t="n">
        <x:v>8.0168</x:v>
      </x:c>
      <x:c r="C5" s="46" t="n">
        <x:v>8.01409094291562</x:v>
      </x:c>
      <x:c r="D5" s="47" t="n">
        <x:f>(C5-B5)/B5</x:f>
        <x:v>-0.00033792249830097995</x:v>
      </x:c>
      <x:c r="E5" s="45" t="str">
        <x:v>Excellent</x:v>
      </x:c>
      <x:c r="F5" s="45" t="str">
        <x:v>Static composition mean and relaxed MEAM density agree very closely.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15" hidden="0" customHeight="1">
      <x:c r="A6" s="45" t="str">
        <x:v>Density at 300 K (g/cm³)</x:v>
      </x:c>
      <x:c r="B6" s="46" t="n">
        <x:v>8.0168</x:v>
      </x:c>
      <x:c r="C6" s="46" t="n">
        <x:v>7.925140000000001</x:v>
      </x:c>
      <x:c r="D6" s="47" t="n">
        <x:f>(C6-B6)/B6</x:f>
        <x:v>-0.011433489671689352</x:v>
      </x:c>
      <x:c r="E6" s="45" t="str">
        <x:v>Good</x:v>
      </x:c>
      <x:c r="F6" s="45" t="str">
        <x:v>Lower because of thermal expansion.</x:v>
      </x:c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15" hidden="0" customHeight="1">
      <x:c r="A7" s="45" t="str">
        <x:v>Density at 1073 K (g/cm³)</x:v>
      </x:c>
      <x:c r="B7" s="46" t="n">
        <x:v>8.0168</x:v>
      </x:c>
      <x:c r="C7" s="46" t="n">
        <x:v>7.69384</x:v>
      </x:c>
      <x:c r="D7" s="47" t="n">
        <x:f>(C7-B7)/B7</x:f>
        <x:v>-0.040285400658616924</x:v>
      </x:c>
      <x:c r="E7" s="45" t="str">
        <x:v>Expected lower</x:v>
      </x:c>
      <x:c r="F7" s="45" t="str">
        <x:v>Further thermal expansion reduces density.</x:v>
      </x:c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15" hidden="0" customHeight="1">
      <x:c r="A8" s="45" t="str">
        <x:v>ΔHmix (kJ/mol)</x:v>
      </x:c>
      <x:c r="B8" s="46" t="n">
        <x:v>-4.337</x:v>
      </x:c>
      <x:c r="C8" s="46" t="n">
        <x:v>-1.6603095045682414</x:v>
      </x:c>
      <x:c r="D8" s="47" t="n">
        <x:f>C8-B8</x:f>
        <x:v>2.6766904954317585</x:v>
      </x:c>
      <x:c r="E8" s="45" t="str">
        <x:v>Same sign; magnitude differs</x:v>
      </x:c>
      <x:c r="F8" s="45" t="str">
        <x:v>MEAM value is a parameter-based estimate. Exact value requires pure-element reference minimisations.</x:v>
      </x:c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15" hidden="0" customHeight="1">
      <x:c r="A9" s="45" t="str">
        <x:v>Mean atomic radius (pm)</x:v>
      </x:c>
      <x:c r="B9" s="46" t="n">
        <x:v>138</x:v>
      </x:c>
      <x:c r="C9" s="46" t="n">
        <x:v>140.50417858270524</x:v>
      </x:c>
      <x:c r="D9" s="47" t="n">
        <x:f>(C9-B9)/B9</x:f>
        <x:v>0.018146221613806062</x:v>
      </x:c>
      <x:c r="E9" s="45" t="str">
        <x:v>Close by volume radius</x:v>
      </x:c>
      <x:c r="F9" s="45" t="str">
        <x:v>Wigner-Seitz-equivalent radius is comparable; nearest-neighbour metallic radius uses a different definition.</x:v>
      </x:c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 ht="15" hidden="0" customHeight="1">
      <x:c r="A10" s="45" t="str">
        <x:v>VEC</x:v>
      </x:c>
      <x:c r="B10" s="46" t="n">
        <x:v>8</x:v>
      </x:c>
      <x:c r="C10" s="46" t="n">
        <x:v>8</x:v>
      </x:c>
      <x:c r="D10" s="46" t="n">
        <x:f>C10-B10</x:f>
        <x:v>0</x:v>
      </x:c>
      <x:c r="E10" s="45" t="str">
        <x:v>Exact by composition</x:v>
      </x:c>
      <x:c r="F10" s="45" t="str">
        <x:v>LAMMPS does not recalculate electronic VEC.</x:v>
      </x:c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 ht="15" hidden="0" customHeight="1">
      <x:c r="A11" s="45" t="str">
        <x:v>Mixing entropy ΔS/R</x:v>
      </x:c>
      <x:c r="B11" s="46" t="n">
        <x:v>1.6094379124341003</x:v>
      </x:c>
      <x:c r="C11" s="46" t="n">
        <x:v>1.6094379124341003</x:v>
      </x:c>
      <x:c r="D11" s="46" t="n">
        <x:f>C11-B11</x:f>
        <x:v>0</x:v>
      </x:c>
      <x:c r="E11" s="45" t="str">
        <x:v>Exact</x:v>
      </x:c>
      <x:c r="F11" s="45" t="str">
        <x:v>Equiatomic 5-element formula ln(5).</x:v>
      </x:c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15" hidden="0" customHeight="1">
      <x:c r="A12" s="45" t="str">
        <x:v>Omega</x:v>
      </x:c>
      <x:c r="B12" s="46" t="n">
        <x:v>5.557981466774282</x:v>
      </x:c>
      <x:c r="C12" s="46" t="str"/>
      <x:c r="D12" s="46" t="str"/>
      <x:c r="E12" s="45" t="str">
        <x:v>Formula-based</x:v>
      </x:c>
      <x:c r="F12" s="45" t="str">
        <x:v>Uses app ΔHmix, mean melting point and ideal mixing entropy.</x:v>
      </x:c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 ht="15" hidden="0" customHeight="1">
      <x:c r="A13" s="45" t="str">
        <x:v>Lambda</x:v>
      </x:c>
      <x:c r="B13" s="46" t="n">
        <x:v>0.5108355934065821</x:v>
      </x:c>
      <x:c r="C13" s="46" t="str"/>
      <x:c r="D13" s="46" t="str"/>
      <x:c r="E13" s="45" t="str">
        <x:v>Formula-based</x:v>
      </x:c>
      <x:c r="F13" s="45" t="str">
        <x:v>0.511 is reproduced only when δ=1.775 is used as a percent value in the denominator.</x:v>
      </x:c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 ht="15" hidden="0" customHeight="1">
      <x:c r="A14" s="45"/>
      <x:c r="B14" s="45"/>
      <x:c r="C14" s="45"/>
      <x:c r="D14" s="45"/>
      <x:c r="E14" s="45"/>
      <x:c r="F14" s="45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 ht="15" hidden="0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 ht="15" hidden="0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2.75" hidden="0" customWidth="1"/>
    <x:col min="4" max="4" width="11.130000114440918" hidden="0" customWidth="1"/>
    <x:col min="5" max="5" width="42" hidden="0" customWidth="1"/>
    <x:col min="6" max="6" width="42" hidden="0" customWidth="1"/>
  </x:cols>
  <x:sheetData>
    <x:row r="1" ht="19.200000762939453" hidden="0" customHeight="1">
      <x:c r="A1" s="22" t="str">
        <x:v>Composition-derived physics features</x:v>
      </x:c>
      <x:c r="B1" s="22"/>
      <x:c r="C1" s="22"/>
      <x:c r="D1" s="22"/>
      <x:c r="E1" s="22"/>
      <x:c r="F1" s="22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15" hidden="0" customHeight="1">
      <x:c r="A2" s="23" t="str">
        <x:v>Feature</x:v>
      </x:c>
      <x:c r="B2" s="23" t="str">
        <x:v>Calculated value</x:v>
      </x:c>
      <x:c r="C2" s="23" t="str">
        <x:v>Web app shown</x:v>
      </x:c>
      <x:c r="D2" s="23" t="str">
        <x:v>Unit</x:v>
      </x:c>
      <x:c r="E2" s="23" t="str">
        <x:v>Formula / basis</x:v>
      </x:c>
      <x:c r="F2" s="23" t="str">
        <x:v>Note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 ht="15" hidden="0" customHeight="1">
      <x:c r="A3" s="45" t="str">
        <x:v>ΔHmix</x:v>
      </x:c>
      <x:c r="B3" s="46" t="n">
        <x:v>-4.337</x:v>
      </x:c>
      <x:c r="C3" s="46" t="n">
        <x:v>-4.337</x:v>
      </x:c>
      <x:c r="D3" s="45" t="str">
        <x:v>kJ/mol</x:v>
      </x:c>
      <x:c r="E3" s="45" t="str">
        <x:v>Redlich–Kister / database pipeline</x:v>
      </x:c>
      <x:c r="F3" s="45" t="str">
        <x:v>Not equal to absolute LAMMPS potential energy.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15" hidden="0" customHeight="1">
      <x:c r="A4" s="45" t="str">
        <x:v>Mean atomic radius</x:v>
      </x:c>
      <x:c r="B4" s="46" t="n">
        <x:v>138</x:v>
      </x:c>
      <x:c r="C4" s="46" t="n">
        <x:v>138</x:v>
      </x:c>
      <x:c r="D4" s="45" t="str">
        <x:v>pm</x:v>
      </x:c>
      <x:c r="E4" s="45" t="str">
        <x:v>Arithmetic mean</x:v>
      </x:c>
      <x:c r="F4" s="45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15" hidden="0" customHeight="1">
      <x:c r="A5" s="45" t="str">
        <x:v>Std atomic radius</x:v>
      </x:c>
      <x:c r="B5" s="46" t="n">
        <x:v>2.449489742783178</x:v>
      </x:c>
      <x:c r="C5" s="46" t="str"/>
      <x:c r="D5" s="45" t="str">
        <x:v>pm</x:v>
      </x:c>
      <x:c r="E5" s="45" t="str">
        <x:v>Population standard deviation</x:v>
      </x:c>
      <x:c r="F5" s="45" t="str">
        <x:v>Model input feature.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15" hidden="0" customHeight="1">
      <x:c r="A6" s="45" t="str">
        <x:v>Atomic-size mismatch δ</x:v>
      </x:c>
      <x:c r="B6" s="46" t="n">
        <x:v>1.7749925672341893</x:v>
      </x:c>
      <x:c r="C6" s="46" t="n">
        <x:v>1.775</x:v>
      </x:c>
      <x:c r="D6" s="45" t="str">
        <x:v>%</x:v>
      </x:c>
      <x:c r="E6" s="45" t="str">
        <x:v>100·sqrt(mean((1-r/r̄)^2))</x:v>
      </x:c>
      <x:c r="F6" s="45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15" hidden="0" customHeight="1">
      <x:c r="A7" s="45" t="str">
        <x:v>Mean electronegativity</x:v>
      </x:c>
      <x:c r="B7" s="46" t="n">
        <x:v>1.766</x:v>
      </x:c>
      <x:c r="C7" s="46" t="str"/>
      <x:c r="D7" s="45" t="str"/>
      <x:c r="E7" s="45" t="str">
        <x:v>Arithmetic mean</x:v>
      </x:c>
      <x:c r="F7" s="45" t="str">
        <x:v>Model input feature.</x:v>
      </x:c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15" hidden="0" customHeight="1">
      <x:c r="A8" s="45" t="str">
        <x:v>Std / Δχ</x:v>
      </x:c>
      <x:c r="B8" s="46" t="n">
        <x:v>0.1383618444514238</x:v>
      </x:c>
      <x:c r="C8" s="46" t="str"/>
      <x:c r="D8" s="45" t="str"/>
      <x:c r="E8" s="45" t="str">
        <x:v>Population standard deviation</x:v>
      </x:c>
      <x:c r="F8" s="45" t="str">
        <x:v>Model input feature.</x:v>
      </x:c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15" hidden="0" customHeight="1">
      <x:c r="A9" s="45" t="str">
        <x:v>Mean VEC</x:v>
      </x:c>
      <x:c r="B9" s="46" t="n">
        <x:v>8</x:v>
      </x:c>
      <x:c r="C9" s="46" t="n">
        <x:v>8</x:v>
      </x:c>
      <x:c r="D9" s="45" t="str">
        <x:v>e⁻/atom</x:v>
      </x:c>
      <x:c r="E9" s="45" t="str">
        <x:v>Mean of 9,6,8,7,10</x:v>
      </x:c>
      <x:c r="F9" s="45" t="str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 ht="15" hidden="0" customHeight="1">
      <x:c r="A10" s="45" t="str">
        <x:v>Mean atomic mass</x:v>
      </x:c>
      <x:c r="B10" s="46" t="n">
        <x:v>56.0811478</x:v>
      </x:c>
      <x:c r="C10" s="46" t="str"/>
      <x:c r="D10" s="45" t="str">
        <x:v>g/mol</x:v>
      </x:c>
      <x:c r="E10" s="45" t="str">
        <x:v>Arithmetic mean</x:v>
      </x:c>
      <x:c r="F10" s="45" t="str">
        <x:v>Used to cross-check density.</x:v>
      </x:c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 ht="15" hidden="0" customHeight="1">
      <x:c r="A11" s="45" t="str">
        <x:v>Mean melting point</x:v>
      </x:c>
      <x:c r="B11" s="46" t="n">
        <x:v>1801.35</x:v>
      </x:c>
      <x:c r="C11" s="46" t="n">
        <x:v>1801.35</x:v>
      </x:c>
      <x:c r="D11" s="45" t="str">
        <x:v>K</x:v>
      </x:c>
      <x:c r="E11" s="45" t="str">
        <x:v>Arithmetic mean</x:v>
      </x:c>
      <x:c r="F11" s="45" t="str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15" hidden="0" customHeight="1">
      <x:c r="A12" s="45" t="str">
        <x:v>Std melting point</x:v>
      </x:c>
      <x:c r="B12" s="46" t="n">
        <x:v>214.32815960577835</x:v>
      </x:c>
      <x:c r="C12" s="46" t="str"/>
      <x:c r="D12" s="45" t="str">
        <x:v>K</x:v>
      </x:c>
      <x:c r="E12" s="45" t="str">
        <x:v>Population standard deviation</x:v>
      </x:c>
      <x:c r="F12" s="45" t="str">
        <x:v>Model input feature.</x:v>
      </x:c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 ht="15" hidden="0" customHeight="1">
      <x:c r="A13" s="45" t="str">
        <x:v>Mean elemental density</x:v>
      </x:c>
      <x:c r="B13" s="46" t="n">
        <x:v>8.0168</x:v>
      </x:c>
      <x:c r="C13" s="46" t="n">
        <x:v>8.016</x:v>
      </x:c>
      <x:c r="D13" s="45" t="str">
        <x:v>g/cm³</x:v>
      </x:c>
      <x:c r="E13" s="45" t="str">
        <x:v>Arithmetic mean</x:v>
      </x:c>
      <x:c r="F13" s="45" t="str">
        <x:v>Static descriptor, not finite-T alloy density.</x:v>
      </x:c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 ht="15" hidden="0" customHeight="1">
      <x:c r="A14" s="45" t="str">
        <x:v>Std elemental density</x:v>
      </x:c>
      <x:c r="B14" s="46" t="n">
        <x:v>0.7451932366842844</x:v>
      </x:c>
      <x:c r="C14" s="46" t="str"/>
      <x:c r="D14" s="45" t="str">
        <x:v>g/cm³</x:v>
      </x:c>
      <x:c r="E14" s="45" t="str">
        <x:v>Population standard deviation</x:v>
      </x:c>
      <x:c r="F14" s="45" t="str">
        <x:v>Model input feature.</x:v>
      </x:c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 ht="15" hidden="0" customHeight="1">
      <x:c r="A15" s="45" t="str">
        <x:v>Mixing entropy ΔS/R</x:v>
      </x:c>
      <x:c r="B15" s="46" t="n">
        <x:v>1.6094379124341003</x:v>
      </x:c>
      <x:c r="C15" s="46" t="n">
        <x:v>1.609</x:v>
      </x:c>
      <x:c r="D15" s="45" t="str">
        <x:v>dimensionless</x:v>
      </x:c>
      <x:c r="E15" s="45" t="str">
        <x:v>ln(5)</x:v>
      </x:c>
      <x:c r="F15" s="45" t="str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 ht="15" hidden="0" customHeight="1">
      <x:c r="A16" s="45" t="str">
        <x:v>Mixing entropy ΔS</x:v>
      </x:c>
      <x:c r="B16" s="46" t="n">
        <x:v>13.381611358925285</x:v>
      </x:c>
      <x:c r="C16" s="46" t="str"/>
      <x:c r="D16" s="45" t="str">
        <x:v>J mol⁻¹ K⁻¹</x:v>
      </x:c>
      <x:c r="E16" s="45" t="str">
        <x:v>R ln(5)</x:v>
      </x:c>
      <x:c r="F16" s="45" t="str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 ht="15" hidden="0" customHeight="1">
      <x:c r="A17" s="45" t="str">
        <x:v>Omega</x:v>
      </x:c>
      <x:c r="B17" s="46" t="n">
        <x:v>5.557981466774282</x:v>
      </x:c>
      <x:c r="C17" s="46" t="n">
        <x:v>5.558</x:v>
      </x:c>
      <x:c r="D17" s="45" t="str"/>
      <x:c r="E17" s="45" t="str">
        <x:v>Tm·ΔS/|ΔHmix|</x:v>
      </x:c>
      <x:c r="F17" s="45" t="str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 ht="15" hidden="0" customHeight="1">
      <x:c r="A18" s="45" t="str">
        <x:v>Lambda (app implementation)</x:v>
      </x:c>
      <x:c r="B18" s="46" t="n">
        <x:v>0.5108355934065821</x:v>
      </x:c>
      <x:c r="C18" s="46" t="n">
        <x:v>0.511</x:v>
      </x:c>
      <x:c r="D18" s="45" t="str"/>
      <x:c r="E18" s="45" t="str">
        <x:v>ln(5)/δ(%)²</x:v>
      </x:c>
      <x:c r="F18" s="45" t="str">
        <x:v>This matches the displayed app value.</x:v>
      </x:c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 ht="15" hidden="0" customHeight="1">
      <x:c r="A19" s="45" t="str">
        <x:v>Lambda (fraction interpretation)</x:v>
      </x:c>
      <x:c r="B19" s="46" t="n">
        <x:v>5108.355934065821</x:v>
      </x:c>
      <x:c r="C19" s="46" t="str"/>
      <x:c r="D19" s="45" t="str"/>
      <x:c r="E19" s="45" t="str">
        <x:v>ln(5)/(δ/100)²</x:v>
      </x:c>
      <x:c r="F19" s="45" t="str">
        <x:v>10,000× larger; do not mix the two conventions.</x:v>
      </x:c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 ht="15" hidden="0" customHeight="1">
      <x:c r="A20" s="45" t="str">
        <x:v>TΔSmix at 300 K</x:v>
      </x:c>
      <x:c r="B20" s="46" t="n">
        <x:v>4.014483407677585</x:v>
      </x:c>
      <x:c r="C20" s="46" t="str"/>
      <x:c r="D20" s="45" t="str">
        <x:v>kJ/mol</x:v>
      </x:c>
      <x:c r="E20" s="45" t="str"/>
      <x:c r="F20" s="45" t="str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 ht="15" hidden="0" customHeight="1">
      <x:c r="A21" s="45" t="str">
        <x:v>ΔGmix at 300 K</x:v>
      </x:c>
      <x:c r="B21" s="46" t="n">
        <x:v>-8.351483407677584</x:v>
      </x:c>
      <x:c r="C21" s="46" t="str"/>
      <x:c r="D21" s="45" t="str">
        <x:v>kJ/mol</x:v>
      </x:c>
      <x:c r="E21" s="45" t="str">
        <x:v>ΔHmix−TΔSmix</x:v>
      </x:c>
      <x:c r="F21" s="45" t="str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 ht="15" hidden="0" customHeight="1">
      <x:c r="A22" s="45" t="str">
        <x:v>TΔSmix at 1073 K</x:v>
      </x:c>
      <x:c r="B22" s="46" t="n">
        <x:v>14.358468988126832</x:v>
      </x:c>
      <x:c r="C22" s="46" t="str"/>
      <x:c r="D22" s="45" t="str">
        <x:v>kJ/mol</x:v>
      </x:c>
      <x:c r="E22" s="45" t="str"/>
      <x:c r="F22" s="45" t="str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 ht="15" hidden="0" customHeight="1">
      <x:c r="A23" s="45" t="str">
        <x:v>ΔGmix at 1073 K</x:v>
      </x:c>
      <x:c r="B23" s="46" t="n">
        <x:v>-18.695468988126834</x:v>
      </x:c>
      <x:c r="C23" s="46" t="str"/>
      <x:c r="D23" s="45" t="str">
        <x:v>kJ/mol</x:v>
      </x:c>
      <x:c r="E23" s="45" t="str">
        <x:v>ΔHmix−TΔSmix</x:v>
      </x:c>
      <x:c r="F23" s="45" t="str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.5" hidden="0" customWidth="1"/>
    <x:col min="3" max="3" width="8.5" hidden="0" customWidth="1"/>
    <x:col min="4" max="4" width="47" hidden="0" customWidth="1"/>
    <x:col min="5" max="5" width="28" hidden="0" customWidth="1"/>
    <x:col min="6" max="6" width="28" hidden="0" customWidth="1"/>
    <x:col min="7" max="7" width="12.380000114440918" hidden="0" customWidth="1"/>
    <x:col min="8" max="8" width="7.380000114440918" hidden="0" customWidth="1"/>
    <x:col min="9" max="9" width="12.380000114440918" hidden="0" customWidth="1"/>
    <x:col min="10" max="10" width="15.880000114440918" hidden="0" customWidth="1"/>
    <x:col min="11" max="11" width="12.130000114440918" hidden="0" customWidth="1"/>
    <x:col min="12" max="12" width="11.630000114440918" hidden="0" customWidth="1"/>
    <x:col min="13" max="13" width="42" hidden="0" customWidth="1"/>
  </x:cols>
  <x:sheetData>
    <x:row r="1" ht="19.200000762939453" hidden="0" customHeight="1">
      <x:c r="A1" s="5" t="str">
        <x:v>FCC LAMMPS state and thermophysical features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15" hidden="0" customHeight="1">
      <x:c r="A2" s="13" t="str">
        <x:v>State</x:v>
      </x:c>
      <x:c r="B2" s="13" t="str">
        <x:v>T (K)</x:v>
      </x:c>
      <x:c r="C2" s="13" t="str">
        <x:v>P (bar)</x:v>
      </x:c>
      <x:c r="D2" s="13" t="str">
        <x:v>PE (eV/atom)</x:v>
      </x:c>
      <x:c r="E2" s="13" t="str">
        <x:v>H (eV/atom)</x:v>
      </x:c>
      <x:c r="F2" s="13" t="str">
        <x:v>V/atom (Å³)</x:v>
      </x:c>
      <x:c r="G2" s="13" t="str">
        <x:v>Density (g/cm³)</x:v>
      </x:c>
      <x:c r="H2" s="13" t="str">
        <x:v>FCC a (Å)</x:v>
      </x:c>
      <x:c r="I2" s="13" t="str">
        <x:v>NN distance (Å)</x:v>
      </x:c>
      <x:c r="J2" s="13" t="str">
        <x:v>Metallic radius (pm)</x:v>
      </x:c>
      <x:c r="K2" s="13" t="str">
        <x:v>WS radius (pm)</x:v>
      </x:c>
      <x:c r="L2" s="13" t="str">
        <x:v>Density vs app</x:v>
      </x:c>
      <x:c r="M2" s="13" t="str">
        <x:v>Notes</x:v>
      </x:c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 ht="15" hidden="0" customHeight="1">
      <x:c r="A3" s="44" t="str">
        <x:v>0 K relaxed</x:v>
      </x:c>
      <x:c r="B3" s="52" t="n">
        <x:v>0</x:v>
      </x:c>
      <x:c r="C3" s="52" t="n">
        <x:v>0</x:v>
      </x:c>
      <x:c r="D3" s="52" t="n">
        <x:v>-4.04720789541879</x:v>
      </x:c>
      <x:c r="E3" s="52" t="n">
        <x:v>-4.04721273590422</x:v>
      </x:c>
      <x:c r="F3" s="52" t="n">
        <x:v>11.6186676843579</x:v>
      </x:c>
      <x:c r="G3" s="52" t="n">
        <x:v>8.01409094291562</x:v>
      </x:c>
      <x:c r="H3" s="52" t="n">
        <x:v>3.5953301264378794</x:v>
      </x:c>
      <x:c r="I3" s="52" t="n">
        <x:v>2.5422823130085117</x:v>
      </x:c>
      <x:c r="J3" s="52" t="n">
        <x:v>127.11411565042559</x:v>
      </x:c>
      <x:c r="K3" s="52" t="n">
        <x:v>140.50417858270524</x:v>
      </x:c>
      <x:c r="L3" s="53" t="n">
        <x:v>-0.00033792249830097995</x:v>
      </x:c>
      <x:c r="M3" s="44" t="str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15" hidden="0" customHeight="1">
      <x:c r="A4" s="44" t="str">
        <x:v>300 K NPT average</x:v>
      </x:c>
      <x:c r="B4" s="52" t="n">
        <x:v>300.1065</x:v>
      </x:c>
      <x:c r="C4" s="52" t="n">
        <x:v>-1.6046399999999998</x:v>
      </x:c>
      <x:c r="D4" s="52" t="n">
        <x:v>-4.008965</x:v>
      </x:c>
      <x:c r="E4" s="52" t="n">
        <x:v>-3.970205</x:v>
      </x:c>
      <x:c r="F4" s="52" t="n">
        <x:v>11.7491</x:v>
      </x:c>
      <x:c r="G4" s="52" t="n">
        <x:v>7.925140000000001</x:v>
      </x:c>
      <x:c r="H4" s="52" t="n">
        <x:v>3.6087339375457335</x:v>
      </x:c>
      <x:c r="I4" s="52" t="n">
        <x:v>2.5517602387366187</x:v>
      </x:c>
      <x:c r="J4" s="52" t="n">
        <x:v>127.58801193683094</x:v>
      </x:c>
      <x:c r="K4" s="52" t="n">
        <x:v>141.02799458940189</x:v>
      </x:c>
      <x:c r="L4" s="53" t="n">
        <x:v>-0.011433489671689352</x:v>
      </x:c>
      <x:c r="M4" s="44" t="str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15" hidden="0" customHeight="1">
      <x:c r="A5" s="44" t="str">
        <x:v>1073 K NPT average</x:v>
      </x:c>
      <x:c r="B5" s="52" t="n">
        <x:v>1073.09</x:v>
      </x:c>
      <x:c r="C5" s="52" t="n">
        <x:v>11.6196</x:v>
      </x:c>
      <x:c r="D5" s="52" t="n">
        <x:v>-3.90434</x:v>
      </x:c>
      <x:c r="E5" s="52" t="n">
        <x:v>-3.7656</x:v>
      </x:c>
      <x:c r="F5" s="52" t="n">
        <x:v>12.1023</x:v>
      </x:c>
      <x:c r="G5" s="52" t="n">
        <x:v>7.69384</x:v>
      </x:c>
      <x:c r="H5" s="52" t="n">
        <x:v>3.6445392791547073</x:v>
      </x:c>
      <x:c r="I5" s="52" t="n">
        <x:v>2.577078438591025</x:v>
      </x:c>
      <x:c r="J5" s="52" t="n">
        <x:v>128.85392192955126</x:v>
      </x:c>
      <x:c r="K5" s="52" t="n">
        <x:v>142.42725416633155</x:v>
      </x:c>
      <x:c r="L5" s="53" t="n">
        <x:v>-0.040285400658616924</x:v>
      </x:c>
      <x:c r="M5" s="44" t="str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15" hidden="0" customHeight="1">
      <x:c r="A6" s="44" t="str">
        <x:v>After 1073 K → 0 K minimised</x:v>
      </x:c>
      <x:c r="B6" s="52" t="n">
        <x:v>0</x:v>
      </x:c>
      <x:c r="C6" s="52" t="n">
        <x:v>0</x:v>
      </x:c>
      <x:c r="D6" s="52" t="n">
        <x:v>-4.0472080083231</x:v>
      </x:c>
      <x:c r="E6" s="52" t="n">
        <x:v>-4.04720400256178</x:v>
      </x:c>
      <x:c r="F6" s="52" t="n">
        <x:v>11.6186519065258</x:v>
      </x:c>
      <x:c r="G6" s="52" t="n">
        <x:v>8.0141018258461</x:v>
      </x:c>
      <x:c r="H6" s="52" t="n">
        <x:v>3.5953284989839034</x:v>
      </x:c>
      <x:c r="I6" s="52" t="n">
        <x:v>2.542281162224769</x:v>
      </x:c>
      <x:c r="J6" s="52" t="n">
        <x:v>127.11405811123846</x:v>
      </x:c>
      <x:c r="K6" s="52" t="n">
        <x:v>140.5041149824026</x:v>
      </x:c>
      <x:c r="L6" s="53" t="n">
        <x:v>-0.0003365649827737655</x:v>
      </x:c>
      <x:c r="M6" s="44" t="str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15" hidden="0" customHeight="1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15" hidden="0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15" hidden="0" customHeight="1">
      <x:c r="A9" s="13" t="str">
        <x:v>Derived thermal metric</x:v>
      </x:c>
      <x:c r="B9" s="13" t="str">
        <x:v>Value</x:v>
      </x:c>
      <x:c r="C9" s="13" t="str">
        <x:v>Unit</x:v>
      </x:c>
      <x:c r="D9" s="13" t="str">
        <x:v>Interpretation</x:v>
      </x:c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 ht="15" hidden="0" customHeight="1">
      <x:c r="A10" s="44" t="str">
        <x:v>Volumetric expansion coefficient β (300→1073 K)</x:v>
      </x:c>
      <x:c r="B10" s="54" t="n">
        <x:v>0.000038890709930996574</x:v>
      </x:c>
      <x:c r="C10" s="44" t="str">
        <x:v>K⁻¹</x:v>
      </x:c>
      <x:c r="D10" s="44" t="str">
        <x:v>From equilibrium volume per atom.</x:v>
      </x:c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 ht="15" hidden="0" customHeight="1">
      <x:c r="A11" s="44" t="str">
        <x:v>Linear expansion coefficient α (300→1073 K)</x:v>
      </x:c>
      <x:c r="B11" s="54" t="n">
        <x:v>0.000012835793868367265</x:v>
      </x:c>
      <x:c r="C11" s="44" t="str">
        <x:v>K⁻¹</x:v>
      </x:c>
      <x:c r="D11" s="44" t="str">
        <x:v>From equivalent FCC lattice parameter.</x:v>
      </x:c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15" hidden="0" customHeight="1">
      <x:c r="A12" s="44" t="str">
        <x:v>Volume increase (300→1073 K)</x:v>
      </x:c>
      <x:c r="B12" s="54" t="n">
        <x:v>0.030061877079946488</x:v>
      </x:c>
      <x:c r="C12" s="44" t="str">
        <x:v>%</x:v>
      </x:c>
      <x:c r="D12" s="44" t="str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 ht="15" hidden="0" customHeight="1">
      <x:c r="A13" s="44" t="str">
        <x:v>Density decrease (300→1073 K)</x:v>
      </x:c>
      <x:c r="B13" s="54" t="n">
        <x:v>-0.02918560429216404</x:v>
      </x:c>
      <x:c r="C13" s="44" t="str">
        <x:v>%</x:v>
      </x:c>
      <x:c r="D13" s="44" t="str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 ht="15" hidden="0" customHeight="1">
      <x:c r="A14" s="44" t="str">
        <x:v>Effective Cp from ΔH/ΔT</x:v>
      </x:c>
      <x:c r="B14" s="54" t="n">
        <x:v>25.539201520359224</x:v>
      </x:c>
      <x:c r="C14" s="44" t="str">
        <x:v>J mol⁻¹ K⁻¹</x:v>
      </x:c>
      <x:c r="D14" s="44" t="str">
        <x:v>Near classical solid value; includes finite-T kinetic contribution.</x:v>
      </x:c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 ht="15" hidden="0" customHeight="1">
      <x:c r="A15" s="44" t="str">
        <x:v>Potential-energy slope</x:v>
      </x:c>
      <x:c r="B15" s="54" t="n">
        <x:v>13.059499812162871</x:v>
      </x:c>
      <x:c r="C15" s="44" t="str">
        <x:v>J mol⁻¹ K⁻¹</x:v>
      </x:c>
      <x:c r="D15" s="44" t="str">
        <x:v>Potential part only, not total heat capacity.</x:v>
      </x:c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 ht="15" hidden="0" customHeight="1">
      <x:c r="A16" s="44" t="str">
        <x:v>Permanent energy change after thermal cycle</x:v>
      </x:c>
      <x:c r="B16" s="54" t="n">
        <x:v>-0.00011290430990129607</x:v>
      </x:c>
      <x:c r="C16" s="44" t="str">
        <x:v>meV/atom</x:v>
      </x:c>
      <x:c r="D16" s="44" t="str">
        <x:v>Nearly zero: same FCC energy basin recovered.</x:v>
      </x:c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13" t="str">
        <x:v>State</x:v>
      </x:c>
      <x:c r="P19" s="13" t="str">
        <x:v>Density</x:v>
      </x:c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 t="str">
        <x:v>0 K</x:v>
      </x:c>
      <x:c r="P20" s="44" t="n">
        <x:v>8.01409094291562</x:v>
      </x:c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 t="str">
        <x:v>300 K</x:v>
      </x:c>
      <x:c r="P21" s="44" t="n">
        <x:v>7.925140000000001</x:v>
      </x:c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 t="str">
        <x:v>1073 K</x:v>
      </x:c>
      <x:c r="P22" s="44" t="n">
        <x:v>7.69384</x:v>
      </x:c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 t="str">
        <x:v>After cycle 0 K</x:v>
      </x:c>
      <x:c r="P23" s="44" t="n">
        <x:v>8.0141018258461</x:v>
      </x:c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49bc451591674a82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" hidden="0" customWidth="1"/>
    <x:col min="3" max="3" width="8" hidden="0" customWidth="1"/>
    <x:col min="4" max="4" width="8.880000114440918" hidden="0" customWidth="1"/>
    <x:col min="5" max="5" width="28" hidden="0" customWidth="1"/>
    <x:col min="6" max="6" width="32" hidden="0" customWidth="1"/>
    <x:col min="7" max="7" width="32" hidden="0" customWidth="1"/>
    <x:col min="8" max="8" width="32" hidden="0" customWidth="1"/>
    <x:col min="9" max="9" width="15.630000114440918" hidden="0" customWidth="1"/>
    <x:col min="10" max="10" width="16.6299991607666" hidden="0" customWidth="1"/>
  </x:cols>
  <x:sheetData>
    <x:row r="1" ht="19.200000762939453" hidden="0" customHeight="1">
      <x:c r="A1" s="5" t="str">
        <x:v>Final-frame structural and local-order features</x:v>
      </x:c>
      <x:c r="B1" s="5"/>
      <x:c r="C1" s="5"/>
      <x:c r="D1" s="5"/>
      <x:c r="E1" s="5"/>
      <x:c r="F1" s="5"/>
      <x:c r="G1" s="5"/>
      <x:c r="H1" s="5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15" hidden="0" customHeight="1">
      <x:c r="A2" s="13" t="str">
        <x:v>Feature</x:v>
      </x:c>
      <x:c r="B2" s="13" t="str">
        <x:v>300 K</x:v>
      </x:c>
      <x:c r="C2" s="13" t="str">
        <x:v>1073 K</x:v>
      </x:c>
      <x:c r="D2" s="13" t="str">
        <x:v>Unit</x:v>
      </x:c>
      <x:c r="E2" s="13" t="str">
        <x:v>Change</x:v>
      </x:c>
      <x:c r="F2" s="13" t="str">
        <x:v>Interpretation</x:v>
      </x:c>
      <x:c r="G2" s="13" t="str">
        <x:v>Source</x:v>
      </x:c>
      <x:c r="H2" s="13" t="str">
        <x:v>Status</x:v>
      </x:c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 ht="15" hidden="0" customHeight="1">
      <x:c r="A3" s="44" t="str">
        <x:v>RDF first peak</x:v>
      </x:c>
      <x:c r="B3" s="52" t="n">
        <x:v>2.5300000000000002</x:v>
      </x:c>
      <x:c r="C3" s="52" t="n">
        <x:v>2.5300000000000002</x:v>
      </x:c>
      <x:c r="D3" s="52" t="str">
        <x:v>Å</x:v>
      </x:c>
      <x:c r="E3" s="52" t="n">
        <x:v>0</x:v>
      </x:c>
      <x:c r="F3" s="44" t="str">
        <x:v>Nearest-neighbour shell</x:v>
      </x:c>
      <x:c r="G3" s="44" t="str">
        <x:v>Trajectory calculation</x:v>
      </x:c>
      <x:c r="H3" s="44" t="str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15" hidden="0" customHeight="1">
      <x:c r="A4" s="44" t="str">
        <x:v>RDF first minimum / CN cutoff</x:v>
      </x:c>
      <x:c r="B4" s="52" t="n">
        <x:v>2.95</x:v>
      </x:c>
      <x:c r="C4" s="52" t="n">
        <x:v>2.8899999999999997</x:v>
      </x:c>
      <x:c r="D4" s="52" t="str">
        <x:v>Å</x:v>
      </x:c>
      <x:c r="E4" s="52" t="n">
        <x:v>-0.0600000000000005</x:v>
      </x:c>
      <x:c r="F4" s="44" t="str">
        <x:v>Thermal broadening changes cutoff</x:v>
      </x:c>
      <x:c r="G4" s="44" t="str">
        <x:v>Trajectory calculation</x:v>
      </x:c>
      <x:c r="H4" s="44" t="str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15" hidden="0" customHeight="1">
      <x:c r="A5" s="44" t="str">
        <x:v>Mean coordination number</x:v>
      </x:c>
      <x:c r="B5" s="52" t="n">
        <x:v>11.9975</x:v>
      </x:c>
      <x:c r="C5" s="52" t="n">
        <x:v>11.308</x:v>
      </x:c>
      <x:c r="D5" s="52" t="str">
        <x:v>neighbours</x:v>
      </x:c>
      <x:c r="E5" s="52" t="n">
        <x:v>-0.6895000000000007</x:v>
      </x:c>
      <x:c r="F5" s="44" t="str">
        <x:v>Ideal FCC = 12</x:v>
      </x:c>
      <x:c r="G5" s="44" t="str">
        <x:v>Trajectory calculation</x:v>
      </x:c>
      <x:c r="H5" s="44" t="str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15" hidden="0" customHeight="1">
      <x:c r="A6" s="44" t="str">
        <x:v>Mean first-12-neighbour distance</x:v>
      </x:c>
      <x:c r="B6" s="52" t="n">
        <x:v>2.5557285875163833</x:v>
      </x:c>
      <x:c r="C6" s="52" t="n">
        <x:v>2.5930826119420516</x:v>
      </x:c>
      <x:c r="D6" s="52" t="str">
        <x:v>Å</x:v>
      </x:c>
      <x:c r="E6" s="52" t="n">
        <x:v>0.037354024425668264</x:v>
      </x:c>
      <x:c r="F6" s="44" t="str">
        <x:v>Thermal expansion</x:v>
      </x:c>
      <x:c r="G6" s="44" t="str">
        <x:v>Trajectory calculation</x:v>
      </x:c>
      <x:c r="H6" s="44" t="str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15" hidden="0" customHeight="1">
      <x:c r="A7" s="44" t="str">
        <x:v>Bond-length CV</x:v>
      </x:c>
      <x:c r="B7" s="52" t="n">
        <x:v>3.6919098410632</x:v>
      </x:c>
      <x:c r="C7" s="52" t="n">
        <x:v>6.747376185080535</x:v>
      </x:c>
      <x:c r="D7" s="52" t="str">
        <x:v>%</x:v>
      </x:c>
      <x:c r="E7" s="52" t="n">
        <x:v>3.055466344017335</x:v>
      </x:c>
      <x:c r="F7" s="44" t="str">
        <x:v>Chemical + thermal local distortion</x:v>
      </x:c>
      <x:c r="G7" s="44" t="str">
        <x:v>Trajectory calculation</x:v>
      </x:c>
      <x:c r="H7" s="44" t="str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15" hidden="0" customHeight="1">
      <x:c r="A8" s="44" t="str">
        <x:v>Mean local distortion CV</x:v>
      </x:c>
      <x:c r="B8" s="52" t="n">
        <x:v>3.4823613820548007</x:v>
      </x:c>
      <x:c r="C8" s="52" t="n">
        <x:v>6.39835199945415</x:v>
      </x:c>
      <x:c r="D8" s="52" t="str">
        <x:v>%</x:v>
      </x:c>
      <x:c r="E8" s="52" t="n">
        <x:v>2.915990617399349</x:v>
      </x:c>
      <x:c r="F8" s="44" t="str">
        <x:v>Indirect counterpart to δ</x:v>
      </x:c>
      <x:c r="G8" s="44" t="str">
        <x:v>Trajectory calculation</x:v>
      </x:c>
      <x:c r="H8" s="44" t="str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15" hidden="0" customHeight="1">
      <x:c r="A9" s="44" t="str">
        <x:v>Local PE standard deviation</x:v>
      </x:c>
      <x:c r="B9" s="52" t="n">
        <x:v>0.3409881341839698</x:v>
      </x:c>
      <x:c r="C9" s="52" t="n">
        <x:v>0.34232507802639844</x:v>
      </x:c>
      <x:c r="D9" s="52" t="str">
        <x:v>eV/atom</x:v>
      </x:c>
      <x:c r="E9" s="52" t="n">
        <x:v>0.0013369438424286617</x:v>
      </x:c>
      <x:c r="F9" s="44" t="str">
        <x:v>Energy heterogeneity</x:v>
      </x:c>
      <x:c r="G9" s="44" t="str">
        <x:v>Trajectory calculation</x:v>
      </x:c>
      <x:c r="H9" s="44" t="str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 ht="15" hidden="0" customHeight="1">
      <x:c r="A10" s="44" t="str">
        <x:v>Box anisotropy</x:v>
      </x:c>
      <x:c r="B10" s="52" t="n">
        <x:v>0.11558727477978306</x:v>
      </x:c>
      <x:c r="C10" s="52" t="n">
        <x:v>0.12742631709878113</x:v>
      </x:c>
      <x:c r="D10" s="52" t="str">
        <x:v>%</x:v>
      </x:c>
      <x:c r="E10" s="52" t="n">
        <x:v>0.011839042318998072</x:v>
      </x:c>
      <x:c r="F10" s="44" t="str">
        <x:v>Small; box remains nearly cubic</x:v>
      </x:c>
      <x:c r="G10" s="44" t="str">
        <x:v>Trajectory calculation</x:v>
      </x:c>
      <x:c r="H10" s="44" t="str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 ht="15" hidden="0" customHeight="1">
      <x:c r="A11" s="44" t="str">
        <x:v>PTM FCC fraction</x:v>
      </x:c>
      <x:c r="B11" s="58" t="n">
        <x:v>1</x:v>
      </x:c>
      <x:c r="C11" s="58" t="n">
        <x:v>0.907</x:v>
      </x:c>
      <x:c r="D11" s="58" t="str">
        <x:v>fraction</x:v>
      </x:c>
      <x:c r="E11" s="58" t="n">
        <x:v>-0.093</x:v>
      </x:c>
      <x:c r="F11" s="44" t="str">
        <x:v>300 K screenshot first frame; 1073 K final screenshot</x:v>
      </x:c>
      <x:c r="G11" s="44" t="str">
        <x:v>OVITO screenshots</x:v>
      </x:c>
      <x:c r="H11" s="44" t="str">
        <x:v>Preliminary</x:v>
      </x:c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15" hidden="0" customHeight="1">
      <x:c r="A12" s="44" t="str">
        <x:v>PTM Other fraction</x:v>
      </x:c>
      <x:c r="B12" s="58" t="n">
        <x:v>0</x:v>
      </x:c>
      <x:c r="C12" s="58" t="n">
        <x:v>0.093</x:v>
      </x:c>
      <x:c r="D12" s="58" t="str">
        <x:v>fraction</x:v>
      </x:c>
      <x:c r="E12" s="58" t="n">
        <x:v>0.093</x:v>
      </x:c>
      <x:c r="F12" s="44" t="str">
        <x:v>Likely thermal distortion at strict RMSD cutoff</x:v>
      </x:c>
      <x:c r="G12" s="44" t="str">
        <x:v>OVITO screenshots</x:v>
      </x:c>
      <x:c r="H12" s="44" t="str">
        <x:v>Preliminary</x:v>
      </x:c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 ht="15" hidden="0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 ht="15" hidden="0" customHeight="1">
      <x:c r="A15" s="13" t="str">
        <x:v>Element</x:v>
      </x:c>
      <x:c r="B15" s="13" t="str">
        <x:v>PE 300 K</x:v>
      </x:c>
      <x:c r="C15" s="13" t="str">
        <x:v>PE 1073 K</x:v>
      </x:c>
      <x:c r="D15" s="13" t="str">
        <x:v>ΔPE</x:v>
      </x:c>
      <x:c r="E15" s="13" t="str">
        <x:v>CN 300 K</x:v>
      </x:c>
      <x:c r="F15" s="13" t="str">
        <x:v>CN 1073 K</x:v>
      </x:c>
      <x:c r="G15" s="13" t="str">
        <x:v>12NN 300 K (Å)</x:v>
      </x:c>
      <x:c r="H15" s="13" t="str">
        <x:v>12NN 1073 K (Å)</x:v>
      </x:c>
      <x:c r="I15" s="13" t="str">
        <x:v>Distortion 300 K (%)</x:v>
      </x:c>
      <x:c r="J15" s="13" t="str">
        <x:v>Distortion 1073 K (%)</x:v>
      </x:c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 ht="15" hidden="0" customHeight="1">
      <x:c r="A16" s="44" t="str">
        <x:v>Co</x:v>
      </x:c>
      <x:c r="B16" s="52" t="n">
        <x:v>-4.353080275</x:v>
      </x:c>
      <x:c r="C16" s="52" t="n">
        <x:v>-4.221898749999999</x:v>
      </x:c>
      <x:c r="D16" s="52" t="n">
        <x:v>0.13118152500000058</x:v>
      </x:c>
      <x:c r="E16" s="52" t="n">
        <x:v>12</x:v>
      </x:c>
      <x:c r="F16" s="52" t="n">
        <x:v>11.4825</x:v>
      </x:c>
      <x:c r="G16" s="52" t="n">
        <x:v>2.5419973035530945</x:v>
      </x:c>
      <x:c r="H16" s="52" t="n">
        <x:v>2.579244869190573</x:v>
      </x:c>
      <x:c r="I16" s="52" t="n">
        <x:v>3.398535179217264</x:v>
      </x:c>
      <x:c r="J16" s="52" t="n">
        <x:v>6.267590257927809</x:v>
      </x:c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 ht="15" hidden="0" customHeight="1">
      <x:c r="A17" s="44" t="str">
        <x:v>Cr</x:v>
      </x:c>
      <x:c r="B17" s="52" t="n">
        <x:v>-3.7343968000000003</x:v>
      </x:c>
      <x:c r="C17" s="52" t="n">
        <x:v>-3.666131275</x:v>
      </x:c>
      <x:c r="D17" s="52" t="n">
        <x:v>0.06826552500000016</x:v>
      </x:c>
      <x:c r="E17" s="52" t="n">
        <x:v>11.99125</x:v>
      </x:c>
      <x:c r="F17" s="52" t="n">
        <x:v>11.24625</x:v>
      </x:c>
      <x:c r="G17" s="52" t="n">
        <x:v>2.5633531809585497</x:v>
      </x:c>
      <x:c r="H17" s="52" t="n">
        <x:v>2.5999648723827558</x:v>
      </x:c>
      <x:c r="I17" s="52" t="n">
        <x:v>3.7854752077316927</x:v>
      </x:c>
      <x:c r="J17" s="52" t="n">
        <x:v>6.478963651358847</x:v>
      </x:c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 ht="15" hidden="0" customHeight="1">
      <x:c r="A18" s="44" t="str">
        <x:v>Fe</x:v>
      </x:c>
      <x:c r="B18" s="52" t="n">
        <x:v>-4.0234423875</x:v>
      </x:c>
      <x:c r="C18" s="52" t="n">
        <x:v>-3.926585775</x:v>
      </x:c>
      <x:c r="D18" s="52" t="n">
        <x:v>0.09685661250000033</x:v>
      </x:c>
      <x:c r="E18" s="52" t="n">
        <x:v>12</x:v>
      </x:c>
      <x:c r="F18" s="52" t="n">
        <x:v>11.30875</x:v>
      </x:c>
      <x:c r="G18" s="52" t="n">
        <x:v>2.5621703481636224</x:v>
      </x:c>
      <x:c r="H18" s="52" t="n">
        <x:v>2.5987397262557512</x:v>
      </x:c>
      <x:c r="I18" s="52" t="n">
        <x:v>3.2951648226758086</x:v>
      </x:c>
      <x:c r="J18" s="52" t="n">
        <x:v>6.245178026569482</x:v>
      </x:c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 ht="15" hidden="0" customHeight="1">
      <x:c r="A19" s="44" t="str">
        <x:v>Mn</x:v>
      </x:c>
      <x:c r="B19" s="52" t="n">
        <x:v>-3.5556000500000007</x:v>
      </x:c>
      <x:c r="C19" s="52" t="n">
        <x:v>-3.4411067</x:v>
      </x:c>
      <x:c r="D19" s="52" t="n">
        <x:v>0.1144933500000005</x:v>
      </x:c>
      <x:c r="E19" s="52" t="n">
        <x:v>11.99625</x:v>
      </x:c>
      <x:c r="F19" s="52" t="n">
        <x:v>11.0925</x:v>
      </x:c>
      <x:c r="G19" s="52" t="n">
        <x:v>2.5659212360363566</x:v>
      </x:c>
      <x:c r="H19" s="52" t="n">
        <x:v>2.6051952456021272</x:v>
      </x:c>
      <x:c r="I19" s="52" t="n">
        <x:v>3.6584495023834394</x:v>
      </x:c>
      <x:c r="J19" s="52" t="n">
        <x:v>6.8290634719315495</x:v>
      </x:c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 ht="15" hidden="0" customHeight="1">
      <x:c r="A20" s="44" t="str">
        <x:v>Ni</x:v>
      </x:c>
      <x:c r="B20" s="52" t="n">
        <x:v>-4.3811192125</x:v>
      </x:c>
      <x:c r="C20" s="52" t="n">
        <x:v>-4.275132425000001</x:v>
      </x:c>
      <x:c r="D20" s="52" t="n">
        <x:v>0.10598678749999912</x:v>
      </x:c>
      <x:c r="E20" s="52" t="n">
        <x:v>12</x:v>
      </x:c>
      <x:c r="F20" s="52" t="n">
        <x:v>11.41</x:v>
      </x:c>
      <x:c r="G20" s="52" t="n">
        <x:v>2.545200868870292</x:v>
      </x:c>
      <x:c r="H20" s="52" t="n">
        <x:v>2.582268346279051</x:v>
      </x:c>
      <x:c r="I20" s="52" t="n">
        <x:v>3.2741821982657995</x:v>
      </x:c>
      <x:c r="J20" s="52" t="n">
        <x:v>6.17096458948306</x:v>
      </x:c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 ht="15" hidden="0" customHeight="1">
      <x:c r="A21" s="44"/>
      <x:c r="B21" s="52"/>
      <x:c r="C21" s="52"/>
      <x:c r="D21" s="52"/>
      <x:c r="E21" s="52"/>
      <x:c r="F21" s="52"/>
      <x:c r="G21" s="52"/>
      <x:c r="H21" s="52"/>
      <x:c r="I21" s="52"/>
      <x:c r="J21" s="52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4.37999725341797" hidden="0" customWidth="1"/>
    <x:col min="2" max="2" width="69.5" hidden="0" customWidth="1"/>
    <x:col min="3" max="3" width="5.25" hidden="0" customWidth="1"/>
    <x:col min="4" max="4" width="5.25" hidden="0" customWidth="1"/>
    <x:col min="5" max="5" width="5.25" hidden="0" customWidth="1"/>
    <x:col min="6" max="6" width="5.25" hidden="0" customWidth="1"/>
  </x:cols>
  <x:sheetData>
    <x:row r="1" ht="19.200000762939453" hidden="0" customHeight="1">
      <x:c r="A1" s="5" t="str">
        <x:v>Warren–Cowley-like nearest-neighbour SRO (final frames)</x:v>
      </x:c>
      <x:c r="B1" s="5"/>
      <x:c r="C1" s="5"/>
      <x:c r="D1" s="5"/>
      <x:c r="E1" s="5"/>
      <x:c r="F1" s="5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15" hidden="0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 ht="15" hidden="0" customHeight="1">
      <x:c r="A3" s="13" t="str">
        <x:v>300 K αij</x:v>
      </x:c>
      <x:c r="B3" s="13" t="str">
        <x:v>Co</x:v>
      </x:c>
      <x:c r="C3" s="13" t="str">
        <x:v>Cr</x:v>
      </x:c>
      <x:c r="D3" s="13" t="str">
        <x:v>Fe</x:v>
      </x:c>
      <x:c r="E3" s="13" t="str">
        <x:v>Mn</x:v>
      </x:c>
      <x:c r="F3" s="13" t="str">
        <x:v>Ni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15" hidden="0" customHeight="1">
      <x:c r="A4" s="44" t="str">
        <x:v>Co</x:v>
      </x:c>
      <x:c r="B4" s="60" t="n">
        <x:v>-0.010416666666666519</x:v>
      </x:c>
      <x:c r="C4" s="60" t="n">
        <x:v>0.03593750000000007</x:v>
      </x:c>
      <x:c r="D4" s="60" t="n">
        <x:v>-0.016666666666666607</x:v>
      </x:c>
      <x:c r="E4" s="60" t="n">
        <x:v>-0.010937499999999822</x:v>
      </x:c>
      <x:c r="F4" s="60" t="n">
        <x:v>0.002083333333333326</x:v>
      </x:c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15" hidden="0" customHeight="1">
      <x:c r="A5" s="44" t="str">
        <x:v>Cr</x:v>
      </x:c>
      <x:c r="B5" s="60" t="n">
        <x:v>0.035234024809757125</x:v>
      </x:c>
      <x:c r="C5" s="60" t="n">
        <x:v>-0.033044928593766176</x:v>
      </x:c>
      <x:c r="D5" s="60" t="n">
        <x:v>-0.0033357656624621868</x:v>
      </x:c>
      <x:c r="E5" s="60" t="n">
        <x:v>-0.011675179818617654</x:v>
      </x:c>
      <x:c r="F5" s="60" t="n">
        <x:v>0.012821849265089114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15" hidden="0" customHeight="1">
      <x:c r="A6" s="44" t="str">
        <x:v>Fe</x:v>
      </x:c>
      <x:c r="B6" s="60" t="n">
        <x:v>-0.016666666666666607</x:v>
      </x:c>
      <x:c r="C6" s="60" t="n">
        <x:v>-0.0026041666666667407</x:v>
      </x:c>
      <x:c r="D6" s="60" t="n">
        <x:v>0.04687500000000011</x:v>
      </x:c>
      <x:c r="E6" s="60" t="n">
        <x:v>-0.009374999999999911</x:v>
      </x:c>
      <x:c r="F6" s="60" t="n">
        <x:v>-0.01822916666666652</x:v>
      </x:c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15" hidden="0" customHeight="1">
      <x:c r="A7" s="44" t="str">
        <x:v>Mn</x:v>
      </x:c>
      <x:c r="B7" s="60" t="n">
        <x:v>-0.011253516723976231</x:v>
      </x:c>
      <x:c r="C7" s="60" t="n">
        <x:v>-0.011253516723976231</x:v>
      </x:c>
      <x:c r="D7" s="60" t="n">
        <x:v>-0.009690528290090539</x:v>
      </x:c>
      <x:c r="E7" s="60" t="n">
        <x:v>0.0038553714702511677</x:v>
      </x:c>
      <x:c r="F7" s="60" t="n">
        <x:v>0.028342190267792056</x:v>
      </x:c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15" hidden="0" customHeight="1">
      <x:c r="A8" s="44" t="str">
        <x:v>Ni</x:v>
      </x:c>
      <x:c r="B8" s="60" t="n">
        <x:v>0.002083333333333326</x:v>
      </x:c>
      <x:c r="C8" s="60" t="n">
        <x:v>0.013541666666666674</x:v>
      </x:c>
      <x:c r="D8" s="60" t="n">
        <x:v>-0.01822916666666652</x:v>
      </x:c>
      <x:c r="E8" s="60" t="n">
        <x:v>0.02864583333333337</x:v>
      </x:c>
      <x:c r="F8" s="60" t="n">
        <x:v>-0.02604166666666652</x:v>
      </x:c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15" hidden="0" customHeight="1">
      <x:c r="A9" s="44"/>
      <x:c r="B9" s="60"/>
      <x:c r="C9" s="60"/>
      <x:c r="D9" s="60"/>
      <x:c r="E9" s="60"/>
      <x:c r="F9" s="60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 ht="15" hidden="0" customHeight="1">
      <x:c r="A10" s="44"/>
      <x:c r="B10" s="60"/>
      <x:c r="C10" s="60"/>
      <x:c r="D10" s="60"/>
      <x:c r="E10" s="60"/>
      <x:c r="F10" s="60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 ht="15" hidden="0" customHeight="1">
      <x:c r="A11" s="13" t="str">
        <x:v>1073 K αij</x:v>
      </x:c>
      <x:c r="B11" s="37" t="str">
        <x:v>Co</x:v>
      </x:c>
      <x:c r="C11" s="37" t="str">
        <x:v>Cr</x:v>
      </x:c>
      <x:c r="D11" s="37" t="str">
        <x:v>Fe</x:v>
      </x:c>
      <x:c r="E11" s="37" t="str">
        <x:v>Mn</x:v>
      </x:c>
      <x:c r="F11" s="37" t="str">
        <x:v>Ni</x:v>
      </x:c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15" hidden="0" customHeight="1">
      <x:c r="A12" s="44" t="str">
        <x:v>Co</x:v>
      </x:c>
      <x:c r="B12" s="60" t="n">
        <x:v>-0.004789897670367971</x:v>
      </x:c>
      <x:c r="C12" s="60" t="n">
        <x:v>0.02841280209013719</x:v>
      </x:c>
      <x:c r="D12" s="60" t="n">
        <x:v>-0.019486174613542406</x:v>
      </x:c>
      <x:c r="E12" s="60" t="n">
        <x:v>0.0011974744175919927</x:v>
      </x:c>
      <x:c r="F12" s="60" t="n">
        <x:v>-0.005334204223818917</x:v>
      </x:c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 ht="15" hidden="0" customHeight="1">
      <x:c r="A13" s="44" t="str">
        <x:v>Cr</x:v>
      </x:c>
      <x:c r="B13" s="60" t="n">
        <x:v>0.008002667555851994</x:v>
      </x:c>
      <x:c r="C13" s="60" t="n">
        <x:v>-0.024786039791041325</x:v>
      </x:c>
      <x:c r="D13" s="60" t="n">
        <x:v>0.0018895187284651005</x:v>
      </x:c>
      <x:c r="E13" s="60" t="n">
        <x:v>0.01578303879070808</x:v>
      </x:c>
      <x:c r="F13" s="60" t="n">
        <x:v>-0.0008891852839834069</x:v>
      </x:c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 ht="15" hidden="0" customHeight="1">
      <x:c r="A14" s="44" t="str">
        <x:v>Fe</x:v>
      </x:c>
      <x:c r="B14" s="60" t="n">
        <x:v>-0.03514977340554881</x:v>
      </x:c>
      <x:c r="C14" s="60" t="n">
        <x:v>0.007405769868464751</x:v>
      </x:c>
      <x:c r="D14" s="60" t="n">
        <x:v>0.042776611031281164</x:v>
      </x:c>
      <x:c r="E14" s="60" t="n">
        <x:v>0.00906377804797176</x:v>
      </x:c>
      <x:c r="F14" s="60" t="n">
        <x:v>-0.02409638554216853</x:v>
      </x:c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 ht="15" hidden="0" customHeight="1">
      <x:c r="A15" s="44" t="str">
        <x:v>Mn</x:v>
      </x:c>
      <x:c r="B15" s="60" t="n">
        <x:v>-0.03391931485237776</x:v>
      </x:c>
      <x:c r="C15" s="60" t="n">
        <x:v>0.002141086319585317</x:v>
      </x:c>
      <x:c r="D15" s="60" t="n">
        <x:v>-0.010254676583276945</x:v>
      </x:c>
      <x:c r="E15" s="60" t="n">
        <x:v>0.0173540680640073</x:v>
      </x:c>
      <x:c r="F15" s="60" t="n">
        <x:v>0.024678837052062308</x:v>
      </x:c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 ht="15" hidden="0" customHeight="1">
      <x:c r="A16" s="44" t="str">
        <x:v>Ni</x:v>
      </x:c>
      <x:c r="B16" s="60" t="n">
        <x:v>-0.011722173531989455</x:v>
      </x:c>
      <x:c r="C16" s="60" t="n">
        <x:v>0.013475021910604679</x:v>
      </x:c>
      <x:c r="D16" s="60" t="n">
        <x:v>-0.015008764241893013</x:v>
      </x:c>
      <x:c r="E16" s="60" t="n">
        <x:v>0.05181858019281338</x:v>
      </x:c>
      <x:c r="F16" s="60" t="n">
        <x:v>-0.03856266432953537</x:v>
      </x:c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 ht="15" hidden="0" customHeight="1">
      <x:c r="A19" s="61" t="str">
        <x:v>Interpretation</x:v>
      </x:c>
      <x:c r="B19" s="61" t="str"/>
      <x:c r="C19" s="61" t="str"/>
      <x:c r="D19" s="61" t="str"/>
      <x:c r="E19" s="61" t="str"/>
      <x:c r="F19" s="61" t="str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 ht="15" hidden="0" customHeight="1">
      <x:c r="A20" s="44" t="str">
        <x:v>α≈0</x:v>
      </x:c>
      <x:c r="B20" s="44" t="str">
        <x:v>Random mixing</x:v>
      </x:c>
      <x:c r="C20" s="44" t="str"/>
      <x:c r="D20" s="44" t="str"/>
      <x:c r="E20" s="44" t="str"/>
      <x:c r="F20" s="44" t="str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 ht="15" hidden="0" customHeight="1">
      <x:c r="A21" s="44" t="str">
        <x:v>|α|≤~0.05 here</x:v>
      </x:c>
      <x:c r="B21" s="44" t="str">
        <x:v>Only weak statistical deviations; no strong chemical ordering is resolved in this short MD run.</x:v>
      </x:c>
      <x:c r="C21" s="44" t="str"/>
      <x:c r="D21" s="44" t="str"/>
      <x:c r="E21" s="44" t="str"/>
      <x:c r="F21" s="44" t="str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1.130001068115234" hidden="0" customWidth="1"/>
    <x:col min="3" max="3" width="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19.200000762939453" hidden="0" customHeight="1">
      <x:c r="A1" s="5" t="str">
        <x:v>Mixing enthalpy comparison and exact next step</x:v>
      </x:c>
      <x:c r="B1" s="5"/>
      <x:c r="C1" s="5"/>
      <x:c r="D1" s="5"/>
      <x:c r="E1" s="5"/>
      <x:c r="F1" s="5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15" hidden="0" customHeight="1">
      <x:c r="A2" s="13" t="str">
        <x:v>Quantity</x:v>
      </x:c>
      <x:c r="B2" s="13" t="str">
        <x:v>Value</x:v>
      </x:c>
      <x:c r="C2" s="13" t="str">
        <x:v>Unit</x:v>
      </x:c>
      <x:c r="D2" s="13" t="str">
        <x:v>How obtained</x:v>
      </x:c>
      <x:c r="E2" s="13" t="str">
        <x:v>Confidence</x:v>
      </x:c>
      <x:c r="F2" s="13" t="str">
        <x:v>Interpretation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 ht="15" hidden="0" customHeight="1">
      <x:c r="A3" s="44" t="str">
        <x:v>Web-app ΔHmix</x:v>
      </x:c>
      <x:c r="B3" s="52" t="n">
        <x:v>-4.337</x:v>
      </x:c>
      <x:c r="C3" s="44" t="str">
        <x:v>kJ/mol</x:v>
      </x:c>
      <x:c r="D3" s="44" t="str">
        <x:v>Redlich–Kister/database feature pipeline</x:v>
      </x:c>
      <x:c r="E3" s="44" t="str">
        <x:v>App value</x:v>
      </x:c>
      <x:c r="F3" s="44" t="str">
        <x:v>Moderately negative.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15" hidden="0" customHeight="1">
      <x:c r="A4" s="44" t="str">
        <x:v>MEAM weighted pure cohesive reference</x:v>
      </x:c>
      <x:c r="B4" s="52" t="n">
        <x:v>-4.029999999999999</x:v>
      </x:c>
      <x:c r="C4" s="44" t="str">
        <x:v>eV/atom</x:v>
      </x:c>
      <x:c r="D4" s="44" t="str">
        <x:v>−0.2·Σ Ecoh from library.meam</x:v>
      </x:c>
      <x:c r="E4" s="44" t="str">
        <x:v>Approximate reference</x:v>
      </x:c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15" hidden="0" customHeight="1">
      <x:c r="A5" s="44" t="str">
        <x:v>FCC alloy relaxed energy</x:v>
      </x:c>
      <x:c r="B5" s="52" t="n">
        <x:v>-4.04720789541879</x:v>
      </x:c>
      <x:c r="C5" s="44" t="str">
        <x:v>eV/atom</x:v>
      </x:c>
      <x:c r="D5" s="44" t="str">
        <x:v>FCC_summary.csv</x:v>
      </x:c>
      <x:c r="E5" s="44" t="str">
        <x:v>Direct LAMMPS</x:v>
      </x:c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15" hidden="0" customHeight="1">
      <x:c r="A6" s="44" t="str">
        <x:v>Estimated MEAM ΔHmix</x:v>
      </x:c>
      <x:c r="B6" s="52" t="n">
        <x:v>-1.6603095045682414</x:v>
      </x:c>
      <x:c r="C6" s="44" t="str">
        <x:v>kJ/mol</x:v>
      </x:c>
      <x:c r="D6" s="44" t="str">
        <x:v>(Ealloy−ΣciEi,pure)·96.485</x:v>
      </x:c>
      <x:c r="E6" s="44" t="str">
        <x:v>Provisional</x:v>
      </x:c>
      <x:c r="F6" s="44" t="str">
        <x:v>Same negative sign, but less negative magnitude than app.</x:v>
      </x:c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15" hidden="0" customHeight="1">
      <x:c r="A7" s="44" t="str">
        <x:v>Difference: MEAM estimate − app</x:v>
      </x:c>
      <x:c r="B7" s="52" t="n">
        <x:v>2.6766904954317585</x:v>
      </x:c>
      <x:c r="C7" s="44" t="str">
        <x:v>kJ/mol</x:v>
      </x:c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15" hidden="0" customHeight="1">
      <x:c r="A8" s="44" t="str">
        <x:v>Relative magnitude difference</x:v>
      </x:c>
      <x:c r="B8" s="52" t="n">
        <x:v>-0.617175581146359</x:v>
      </x:c>
      <x:c r="C8" s="44" t="str">
        <x:v>%</x:v>
      </x:c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15" hidden="0" customHeight="1">
      <x:c r="A9" s="44"/>
      <x:c r="B9" s="58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 ht="15" hidden="0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 ht="15" hidden="0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15" hidden="0" customHeight="1">
      <x:c r="A12" s="61" t="str">
        <x:v>Exact MEAM ΔHmix procedure</x:v>
      </x:c>
      <x:c r="B12" s="61" t="str"/>
      <x:c r="C12" s="61" t="str"/>
      <x:c r="D12" s="61" t="str"/>
      <x:c r="E12" s="61" t="str"/>
      <x:c r="F12" s="61" t="str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 ht="15" hidden="0" customHeight="1">
      <x:c r="A13" s="44" t="str">
        <x:v>1</x:v>
      </x:c>
      <x:c r="B13" s="44" t="str">
        <x:v>Minimise pure Co in HCP reference</x:v>
      </x:c>
      <x:c r="C13" s="44" t="str"/>
      <x:c r="D13" s="44" t="str"/>
      <x:c r="E13" s="44" t="str"/>
      <x:c r="F13" s="44" t="str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 ht="15" hidden="0" customHeight="1">
      <x:c r="A14" s="44" t="str">
        <x:v>2</x:v>
      </x:c>
      <x:c r="B14" s="44" t="str">
        <x:v>Minimise pure Ni in FCC reference</x:v>
      </x:c>
      <x:c r="C14" s="44" t="str"/>
      <x:c r="D14" s="44" t="str"/>
      <x:c r="E14" s="44" t="str"/>
      <x:c r="F14" s="44" t="str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 ht="15" hidden="0" customHeight="1">
      <x:c r="A15" s="44" t="str">
        <x:v>3</x:v>
      </x:c>
      <x:c r="B15" s="44" t="str">
        <x:v>Minimise pure Cr, Fe and Mn in BCC references</x:v>
      </x:c>
      <x:c r="C15" s="44" t="str"/>
      <x:c r="D15" s="44" t="str"/>
      <x:c r="E15" s="44" t="str"/>
      <x:c r="F15" s="44" t="str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 ht="15" hidden="0" customHeight="1">
      <x:c r="A16" s="44" t="str">
        <x:v>4</x:v>
      </x:c>
      <x:c r="B16" s="44" t="str">
        <x:v>Use identical pair files, pressure relaxation and convergence settings</x:v>
      </x:c>
      <x:c r="C16" s="44" t="str"/>
      <x:c r="D16" s="44" t="str"/>
      <x:c r="E16" s="44" t="str"/>
      <x:c r="F16" s="44" t="str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 ht="15" hidden="0" customHeight="1">
      <x:c r="A17" s="44" t="str">
        <x:v>5</x:v>
      </x:c>
      <x:c r="B17" s="44" t="str">
        <x:v>Calculate ΔHmix = Ealloy − 0.2(ECo+ECr+EFe+EMn+ENi)</x:v>
      </x:c>
      <x:c r="C17" s="44" t="str"/>
      <x:c r="D17" s="44" t="str"/>
      <x:c r="E17" s="44" t="str"/>
      <x:c r="F17" s="44" t="str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28" hidden="0" customWidth="1"/>
    <x:col min="6" max="6" width="28" hidden="0" customWidth="1"/>
  </x:cols>
  <x:sheetData>
    <x:row r="1" ht="19.200000762939453" hidden="0" customHeight="1">
      <x:c r="A1" s="22" t="str">
        <x:v>Data provenance and limitations</x:v>
      </x:c>
      <x:c r="B1" s="22"/>
      <x:c r="C1" s="22"/>
      <x:c r="D1" s="22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15" hidden="0" customHeight="1">
      <x:c r="A2" s="23" t="str">
        <x:v>Item</x:v>
      </x:c>
      <x:c r="B2" s="23" t="str">
        <x:v>Source</x:v>
      </x:c>
      <x:c r="C2" s="23" t="str">
        <x:v>Use</x:v>
      </x:c>
      <x:c r="D2" s="23" t="str">
        <x:v>Limitation</x:v>
      </x:c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 ht="15" hidden="0" customHeight="1">
      <x:c r="A3" s="45" t="str">
        <x:v>Web-app descriptors</x:v>
      </x:c>
      <x:c r="B3" s="45" t="str">
        <x:v>Screenshot + hea-note (7)(1).ipynb</x:v>
      </x:c>
      <x:c r="C3" s="45" t="str">
        <x:v>Feature formula reconstruction</x:v>
      </x:c>
      <x:c r="D3" s="45" t="str">
        <x:v>The local app is a custom PHEA-ATLAS-inspired model, not identical to the official Bayesian package.</x:v>
      </x:c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 ht="15" hidden="0" customHeight="1">
      <x:c r="A4" s="45" t="str">
        <x:v>Official probability</x:v>
      </x:c>
      <x:c r="B4" s="45" t="str">
        <x:v>atlas_phea.csv, subset Co-Cr-Fe-Mn-Ni</x:v>
      </x:c>
      <x:c r="C4" s="45" t="str">
        <x:v>eq_P=0.91212</x:v>
      </x:c>
      <x:c r="D4" s="45" t="str">
        <x:v>Different model/pipeline from the 0.8987 web-app value.</x:v>
      </x:c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 ht="15" hidden="0" customHeight="1">
      <x:c r="A5" s="45" t="str">
        <x:v>LAMMPS thermodynamics</x:v>
      </x:c>
      <x:c r="B5" s="45" t="str">
        <x:v>FCC_summary.csv; FCC_300K_average.dat; FCC_1073K_average.dat</x:v>
      </x:c>
      <x:c r="C5" s="45" t="str">
        <x:v>Energy, enthalpy, volume, density</x:v>
      </x:c>
      <x:c r="D5" s="45" t="str">
        <x:v>Only FCC candidate is complete so far.</x:v>
      </x:c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 ht="15" hidden="0" customHeight="1">
      <x:c r="A6" s="45" t="str">
        <x:v>Local atomistic features</x:v>
      </x:c>
      <x:c r="B6" s="45" t="str">
        <x:v>FCC_300K.lammpstrj; FCC_1073K.lammpstrj</x:v>
      </x:c>
      <x:c r="C6" s="45" t="str">
        <x:v>RDF, CN, SRO, local energy, distortion</x:v>
      </x:c>
      <x:c r="D6" s="45" t="str">
        <x:v>Final-frame calculations; no MC atom swaps.</x:v>
      </x:c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 ht="15" hidden="0" customHeight="1">
      <x:c r="A7" s="45" t="str">
        <x:v>PTM fractions</x:v>
      </x:c>
      <x:c r="B7" s="45" t="str">
        <x:v>User OVITO screenshots</x:v>
      </x:c>
      <x:c r="C7" s="45" t="str">
        <x:v>FCC retention</x:v>
      </x:c>
      <x:c r="D7" s="45" t="str">
        <x:v>Use one fixed RMSD cutoff for all phases; repeat final-frame export.</x:v>
      </x:c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 ht="15" hidden="0" customHeight="1">
      <x:c r="A8" s="45" t="str">
        <x:v>MEAM parameters</x:v>
      </x:c>
      <x:c r="B8" s="45" t="str">
        <x:v>library.meam + CoNiCrFeMn.meam</x:v>
      </x:c>
      <x:c r="C8" s="45" t="str">
        <x:v>Potential and provisional cohesive references</x:v>
      </x:c>
      <x:c r="D8" s="45" t="str">
        <x:v>Exact ΔHmix needs pure-element minimisation runs.</x:v>
      </x:c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 ht="15" hidden="0" customHeight="1">
      <x:c r="A9" s="45" t="str">
        <x:v>Reference paper</x:v>
      </x:c>
      <x:c r="B9" s="45" t="str">
        <x:v>DOI 10.1038/s41524-017-0060-9</x:v>
      </x:c>
      <x:c r="C9" s="45" t="str">
        <x:v>2NN-MEAM, 1073 K solid-state stability logic</x:v>
      </x:c>
      <x:c r="D9" s="45" t="str">
        <x:v>Choi used CMC before stability testing; current run is MD-only.</x:v>
      </x:c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 ht="15" hidden="0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 ht="15" hidden="0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 ht="15" hidden="0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 ht="15" hidden="0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 ht="15" hidden="0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 ht="15" hidden="0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</x:sheetData>
  <x:mergeCells>
    <x:mergeCell ref="A1:D1"/>
  </x:mergeCells>
  <x:pageMargins left="0.7" right="0.7" top="0.75" bottom="0.75" header="0.3" footer="0.3"/>
</x:worksheet>
</file>